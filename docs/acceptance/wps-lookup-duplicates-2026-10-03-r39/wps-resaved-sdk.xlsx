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/>
  </bookViews>
  <sheets>
    <sheet name="重复档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<sst xmlns="http://schemas.openxmlformats.org/spreadsheetml/2006/main" count="25" uniqueCount="20">
  <si>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档位</t>
  </si>
  <si>
    <t>结果</t>
  </si>
  <si>
    <t>横向档位</t>
  </si>
  <si>
    <t>模式</t>
  </si>
  <si>
    <t>VLOOKUP</t>
  </si>
  <si>
    <t>HLOOKUP</t>
  </si>
  <si>
    <t>基础</t>
  </si>
  <si>
    <t>横向结果</t>
  </si>
  <si>
    <t>旧10</t>
  </si>
  <si>
    <t>新10</t>
  </si>
  <si>
    <t>旧20</t>
  </si>
  <si>
    <t>新20</t>
  </si>
  <si>
    <t>10 / 精确</t>
  </si>
  <si>
    <t>10 / 近似</t>
  </si>
  <si>
    <t>10 / 默认</t>
  </si>
  <si>
    <t>15 / 近似</t>
  </si>
  <si>
    <t>20 / 精确</t>
  </si>
  <si>
    <t>20 / 近似</t>
  </si>
  <si>
    <t>99 / 近似</t>
  </si>
  <si>
    <t>-1 / 近似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</si>
</sst>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0" width="18" customWidth="1"/>
    <col min="11" max="11" width="24" customWidth="1"/>
    <col min="12" max="13" width="18" customWidth="1"/>
  </cols>
  <sheetData>
    <row r="1" spans="1:13">
      <c r="A1" t="s">
        <v>0</v>
      </c>
      <c r="B1" t="s">
        <v>1</v>
      </c>
      <c r="D1" t="s">
        <v>2</v>
      </c>
      <c r="E1">
        <v>0</v>
      </c>
      <c r="F1">
        <v>10</v>
      </c>
      <c r="G1">
        <v>10</v>
      </c>
      <c r="H1">
        <v>20</v>
      </c>
      <c r="I1">
        <v>20</v>
      </c>
      <c r="K1" t="s">
        <v>3</v>
      </c>
      <c r="L1" t="s">
        <v>4</v>
      </c>
      <c r="M1" t="s">
        <v>5</v>
      </c>
    </row>
    <row r="2" spans="1:13">
      <c r="A2">
        <v>0</v>
      </c>
      <c r="B2" t="s">
        <v>6</v>
      </c>
      <c r="D2" t="s">
        <v>7</v>
      </c>
      <c r="E2" t="s">
        <v>6</v>
      </c>
      <c r="F2" t="s">
        <v>8</v>
      </c>
      <c r="G2" t="s">
        <v>9</v>
      </c>
      <c r="H2" t="s">
        <v>10</v>
      </c>
      <c r="I2" t="s">
        <v>11</v>
      </c>
      <c r="K2" t="s">
        <v>12</v>
      </c>
      <c r="L2" t="str">
        <f>VLOOKUP(10,A2:B6,2,FALSE)</f>
        <v>旧10</v>
      </c>
      <c r="M2" t="str">
        <f>HLOOKUP(10,E1:I2,2,FALSE)</f>
        <v>旧10</v>
      </c>
    </row>
    <row r="3" spans="1:13">
      <c r="A3">
        <v>10</v>
      </c>
      <c r="B3" t="s">
        <v>8</v>
      </c>
      <c r="K3" t="s">
        <v>13</v>
      </c>
      <c r="L3" t="str">
        <f>VLOOKUP(10,A2:B6,2,TRUE)</f>
        <v>新10</v>
      </c>
      <c r="M3" t="str">
        <f>HLOOKUP(10,E1:I2,2,TRUE)</f>
        <v>新10</v>
      </c>
    </row>
    <row r="4" spans="1:13">
      <c r="A4">
        <v>10</v>
      </c>
      <c r="B4" t="s">
        <v>9</v>
      </c>
      <c r="K4" t="s">
        <v>14</v>
      </c>
      <c r="L4" t="str">
        <f>VLOOKUP(10,A2:B6,2)</f>
        <v>新10</v>
      </c>
      <c r="M4" t="str">
        <f>HLOOKUP(10,E1:I2,2)</f>
        <v>新10</v>
      </c>
    </row>
    <row r="5" spans="1:13">
      <c r="A5">
        <v>20</v>
      </c>
      <c r="B5" t="s">
        <v>10</v>
      </c>
      <c r="K5" t="s">
        <v>15</v>
      </c>
      <c r="L5" t="str">
        <f>VLOOKUP(15,A2:B6,2,TRUE)</f>
        <v>新10</v>
      </c>
      <c r="M5" t="str">
        <f>HLOOKUP(15,E1:I2,2,TRUE)</f>
        <v>新10</v>
      </c>
    </row>
    <row r="6" spans="1:13">
      <c r="A6">
        <v>20</v>
      </c>
      <c r="B6" t="s">
        <v>11</v>
      </c>
      <c r="K6" t="s">
        <v>16</v>
      </c>
      <c r="L6" t="str">
        <f>VLOOKUP(20,A2:B6,2,FALSE)</f>
        <v>旧20</v>
      </c>
      <c r="M6" t="str">
        <f>HLOOKUP(20,E1:I2,2,FALSE)</f>
        <v>旧20</v>
      </c>
    </row>
    <row r="7" spans="1:13">
      <c r="K7" t="s">
        <v>17</v>
      </c>
      <c r="L7" t="str">
        <f>VLOOKUP(20,A2:B6,2,TRUE)</f>
        <v>新20</v>
      </c>
      <c r="M7" t="str">
        <f>HLOOKUP(20,E1:I2,2,TRUE)</f>
        <v>新20</v>
      </c>
    </row>
    <row r="8" spans="1:13">
      <c r="K8" t="s">
        <v>18</v>
      </c>
      <c r="L8" t="str">
        <f>VLOOKUP(99,A2:B6,2,TRUE)</f>
        <v>新20</v>
      </c>
      <c r="M8" t="str">
        <f>HLOOKUP(99,E1:I2,2,TRUE)</f>
        <v>新20</v>
      </c>
    </row>
    <row r="9" spans="1:13">
      <c r="K9" t="s">
        <v>19</v>
      </c>
      <c r="L9" t="e">
        <f>VLOOKUP(-1,A2:B6,2,TRUE)</f>
        <v>#N/A</v>
      </c>
      <c r="M9" t="e">
        <f>HLOOKUP(-1,E1:I2,2,TRUE)</f>
        <v>#N/A</v>
      </c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重复档位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2026-10-03T22:30:00Z</dcterms:created>
  <dcterms:modified xsi:type="dcterms:W3CDTF">2026-10-03T23:04:11Z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711DA8C1AFD005296B19C16AC464F1D3_42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