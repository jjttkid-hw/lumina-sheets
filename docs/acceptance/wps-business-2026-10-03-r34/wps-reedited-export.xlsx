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2940" windowHeight="10480" activeTab="2"/>
  </bookViews>
  <sheets>
    <sheet name="应收账款" sheetId="1" r:id="rId1"/>
    <sheet name="库存" sheetId="2" r:id="rId2"/>
    <sheet name="项目费用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<sst xmlns="http://schemas.openxmlformats.org/spreadsheetml/2006/main" count="61" uniqueCount="52">
  <si>
    <t>单号</t>
  </si>
  <si>
    <t>客户</t>
  </si>
  <si>
    <t>开票金额</t>
  </si>
  <si>
    <t>已收金额</t>
  </si>
  <si>
    <t>未收金额</t>
  </si>
  <si>
    <t>状态</t>
  </si>
  <si>
    <t>开票日</t>
  </si>
  <si>
    <t>账期天数</t>
  </si>
  <si>
    <t>000001</t>
  </si>
  <si>
    <t>华东演示客户</t>
  </si>
  <si>
    <t>未结清</t>
  </si>
  <si>
    <t>000002</t>
  </si>
  <si>
    <t>华南演示客户</t>
  </si>
  <si>
    <t>已结清</t>
  </si>
  <si>
    <t>000003</t>
  </si>
  <si>
    <t>000004</t>
  </si>
  <si>
    <t>跨行
演示客户😀</t>
  </si>
  <si>
    <t>预收</t>
  </si>
  <si>
    <t>合计</t>
  </si>
  <si>
    <t>华东未收</t>
  </si>
  <si>
    <t>未结清单数</t>
  </si>
  <si>
    <t>物料编号</t>
  </si>
  <si>
    <t>物料</t>
  </si>
  <si>
    <t>期初</t>
  </si>
  <si>
    <t>入库</t>
  </si>
  <si>
    <t>出库</t>
  </si>
  <si>
    <t>结存</t>
  </si>
  <si>
    <t>单价</t>
  </si>
  <si>
    <t>库存金额</t>
  </si>
  <si>
    <t>安全库存</t>
  </si>
  <si>
    <t>补货提示</t>
  </si>
  <si>
    <t>SKU-001</t>
  </si>
  <si>
    <t>演示组件 A</t>
  </si>
  <si>
    <t>SKU-002</t>
  </si>
  <si>
    <t>演示组件 B</t>
  </si>
  <si>
    <t>SKU-003</t>
  </si>
  <si>
    <t>演示组件 C</t>
  </si>
  <si>
    <t>项目</t>
  </si>
  <si>
    <t>部门</t>
  </si>
  <si>
    <t>金额</t>
  </si>
  <si>
    <t>审批</t>
  </si>
  <si>
    <t>项目甲</t>
  </si>
  <si>
    <t>研发</t>
  </si>
  <si>
    <t>通过</t>
  </si>
  <si>
    <t>销售</t>
  </si>
  <si>
    <t>项目乙</t>
  </si>
  <si>
    <t>待审</t>
  </si>
  <si>
    <t>通过合计</t>
  </si>
  <si>
    <t>研发通过</t>
  </si>
  <si>
    <t>库存占用</t>
  </si>
  <si>
    <t>应收余额</t>
  </si>
  <si>
    <t>净占用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</si>
</sst>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3">
    <font>
      <sz val="11"/>
      <color theme="1"/>
      <name val="宋体"/>
      <charset val="134"/>
      <scheme val="minor"/>
    </font>
    <font>
      <b/>
      <sz val="11"/>
      <color rgb="FF23644D"/>
      <name val="Aptos"/>
      <charset val="134"/>
    </font>
    <font>
      <sz val="11"/>
      <name val="Aptos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/>
    <xf numFmtId="4" fontId="2" fillId="0" borderId="0" xfId="0" applyNumberFormat="1" applyFont="1"/>
    <xf numFmtId="176" fontId="2" fillId="0" borderId="0" xfId="0" applyNumberFormat="1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9"/>
  <sheetViews>
    <sheetView workbookViewId="0">
      <pane ySplit="1" topLeftCell="A2" activePane="bottomLeft" state="frozen"/>
      <selection/>
      <selection pane="bottomLeft" activeCell="D3" sqref="D3"/>
    </sheetView>
  </sheetViews>
  <sheetFormatPr defaultColWidth="9" defaultRowHeight="16.8" outlineLevelCol="7"/>
  <cols>
    <col min="1" max="8" width="18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s="2">
        <v>1200.5</v>
      </c>
      <c r="D2" s="2">
        <v>400.5</v>
      </c>
      <c r="E2" s="2">
        <f>ROUND(C2-D2,2)</f>
        <v>800</v>
      </c>
      <c r="F2" t="s">
        <v>10</v>
      </c>
      <c r="G2" s="3">
        <v>45292</v>
      </c>
      <c r="H2">
        <v>30</v>
      </c>
    </row>
    <row r="3" spans="1:8">
      <c r="A3" t="s">
        <v>11</v>
      </c>
      <c r="B3" t="s">
        <v>12</v>
      </c>
      <c r="C3" s="2">
        <v>3000</v>
      </c>
      <c r="D3" s="2">
        <v>3000</v>
      </c>
      <c r="E3" s="2">
        <f>ROUND(C3-D3,2)</f>
        <v>0</v>
      </c>
      <c r="F3" t="s">
        <v>13</v>
      </c>
      <c r="G3" s="3">
        <v>45323</v>
      </c>
      <c r="H3">
        <v>60</v>
      </c>
    </row>
    <row r="4" spans="1:8">
      <c r="A4" t="s">
        <v>14</v>
      </c>
      <c r="B4" t="s">
        <v>9</v>
      </c>
      <c r="C4" s="2">
        <v>800.25</v>
      </c>
      <c r="D4" s="2">
        <v>0</v>
      </c>
      <c r="E4" s="2">
        <f>ROUND(C4-D4,2)</f>
        <v>800.25</v>
      </c>
      <c r="F4" t="s">
        <v>10</v>
      </c>
      <c r="G4" s="3">
        <v>45351</v>
      </c>
      <c r="H4">
        <v>45</v>
      </c>
    </row>
    <row r="5" spans="1:8">
      <c r="A5" t="s">
        <v>15</v>
      </c>
      <c r="B5" t="s">
        <v>16</v>
      </c>
      <c r="C5" s="2">
        <v>500</v>
      </c>
      <c r="D5" s="2">
        <v>700</v>
      </c>
      <c r="E5" s="2">
        <f>ROUND(C5-D5,2)</f>
        <v>-200</v>
      </c>
      <c r="F5" t="s">
        <v>17</v>
      </c>
      <c r="G5" s="3">
        <v>45352.5</v>
      </c>
      <c r="H5">
        <v>15</v>
      </c>
    </row>
    <row r="6" spans="1:8">
      <c r="A6" t="s">
        <v>18</v>
      </c>
      <c r="E6">
        <f>SUM(E2:E5)</f>
        <v>1400.25</v>
      </c>
    </row>
    <row r="8" spans="1:8">
      <c r="B8" t="s">
        <v>19</v>
      </c>
      <c r="E8">
        <f>SUMIFS(E2:E5,B2:B5,"华东演示客户",F2:F5,"未结清")</f>
        <v>1600.25</v>
      </c>
    </row>
    <row r="9" spans="1:8">
      <c r="B9" t="s">
        <v>20</v>
      </c>
      <c r="E9">
        <f>COUNTIF(F2:F5,"未结清")</f>
        <v>2</v>
      </c>
    </row>
  </sheetData>
  <pageMargins left="0.75" right="0.75" top="1" bottom="1" header="0" footer="0"/>
  <pageSetup paperSize="9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6.8" outlineLevelRow="4"/>
  <cols>
    <col min="1" max="10" width="18" customWidth="1"/>
  </cols>
  <sheetData>
    <row r="1" spans="1:10">
      <c r="A1" s="1" t="s">
        <v>21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</row>
    <row r="2" spans="1:10">
      <c r="A2" t="s">
        <v>31</v>
      </c>
      <c r="B2" t="s">
        <v>32</v>
      </c>
      <c r="C2">
        <v>10</v>
      </c>
      <c r="D2">
        <v>8</v>
      </c>
      <c r="E2">
        <v>20</v>
      </c>
      <c r="F2">
        <f>C2+D2-E2</f>
        <v>-2</v>
      </c>
      <c r="G2">
        <v>12.5</v>
      </c>
      <c r="H2" s="2">
        <f>ROUND(F2*G2,2)</f>
        <v>-25</v>
      </c>
      <c r="I2">
        <v>8</v>
      </c>
      <c r="J2" t="str">
        <f>IF(F2&lt;I2,"补货","充足")</f>
        <v>补货</v>
      </c>
    </row>
    <row r="3" spans="1:10">
      <c r="A3" t="s">
        <v>33</v>
      </c>
      <c r="B3" t="s">
        <v>34</v>
      </c>
      <c r="C3">
        <v>20</v>
      </c>
      <c r="D3">
        <v>5</v>
      </c>
      <c r="E3">
        <v>3</v>
      </c>
      <c r="F3">
        <f>C3+D3-E3</f>
        <v>22</v>
      </c>
      <c r="G3">
        <v>8.25</v>
      </c>
      <c r="H3" s="2">
        <f>ROUND(F3*G3,2)</f>
        <v>181.5</v>
      </c>
      <c r="I3">
        <v>10</v>
      </c>
      <c r="J3" t="str">
        <f>IF(F3&lt;I3,"补货","充足")</f>
        <v>充足</v>
      </c>
    </row>
    <row r="4" spans="1:10">
      <c r="A4" t="s">
        <v>35</v>
      </c>
      <c r="B4" t="s">
        <v>36</v>
      </c>
      <c r="C4">
        <v>0</v>
      </c>
      <c r="D4">
        <v>100</v>
      </c>
      <c r="E4">
        <v>40</v>
      </c>
      <c r="F4">
        <f>C4+D4-E4</f>
        <v>60</v>
      </c>
      <c r="G4">
        <v>3.2</v>
      </c>
      <c r="H4" s="2">
        <f>ROUND(F4*G4,2)</f>
        <v>192</v>
      </c>
      <c r="I4">
        <v>25</v>
      </c>
      <c r="J4" t="str">
        <f>IF(F4&lt;I4,"补货","充足")</f>
        <v>充足</v>
      </c>
    </row>
    <row r="5" spans="1:10">
      <c r="A5" t="s">
        <v>18</v>
      </c>
      <c r="H5">
        <f>SUMPRODUCT(F2:F4,G2:G4)</f>
        <v>348.5</v>
      </c>
    </row>
  </sheetData>
  <pageMargins left="0.75" right="0.75" top="1" bottom="1" header="0" footer="0"/>
  <pageSetup paperSize="9" orientation="landscape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9" defaultRowHeight="16.8" outlineLevelCol="3"/>
  <cols>
    <col min="1" max="4" width="18" customWidth="1"/>
  </cols>
  <sheetData>
    <row r="1" spans="1:4">
      <c r="A1" s="1" t="s">
        <v>37</v>
      </c>
      <c r="B1" s="1" t="s">
        <v>38</v>
      </c>
      <c r="C1" s="1" t="s">
        <v>39</v>
      </c>
      <c r="D1" s="1" t="s">
        <v>40</v>
      </c>
    </row>
    <row r="2" spans="1:4">
      <c r="A2" t="s">
        <v>41</v>
      </c>
      <c r="B2" t="s">
        <v>42</v>
      </c>
      <c r="C2">
        <v>123.45</v>
      </c>
      <c r="D2" t="s">
        <v>43</v>
      </c>
    </row>
    <row r="3" spans="1:4">
      <c r="A3" t="s">
        <v>41</v>
      </c>
      <c r="B3" t="s">
        <v>44</v>
      </c>
      <c r="C3">
        <v>200</v>
      </c>
      <c r="D3" t="s">
        <v>43</v>
      </c>
    </row>
    <row r="4" spans="1:4">
      <c r="A4" t="s">
        <v>45</v>
      </c>
      <c r="B4" t="s">
        <v>42</v>
      </c>
      <c r="C4">
        <v>50</v>
      </c>
      <c r="D4" t="s">
        <v>46</v>
      </c>
    </row>
    <row r="5" spans="1:4">
      <c r="A5" t="s">
        <v>45</v>
      </c>
      <c r="B5" t="s">
        <v>42</v>
      </c>
      <c r="C5">
        <v>99.99</v>
      </c>
      <c r="D5" t="s">
        <v>43</v>
      </c>
    </row>
    <row r="6" spans="1:4">
      <c r="A6" t="s">
        <v>47</v>
      </c>
      <c r="C6">
        <f>SUMIF(D2:D5,"通过",C2:C5)</f>
        <v>423.44</v>
      </c>
    </row>
    <row r="7" spans="1:4">
      <c r="A7" t="s">
        <v>48</v>
      </c>
      <c r="C7">
        <f>SUMIFS(C2:C5,B2:B5,"研发",D2:D5,"通过")</f>
        <v>223.44</v>
      </c>
    </row>
    <row r="8" spans="1:4">
      <c r="A8" t="s">
        <v>49</v>
      </c>
      <c r="C8">
        <f>库存!H5</f>
        <v>348.5</v>
      </c>
    </row>
    <row r="9" spans="1:4">
      <c r="A9" t="s">
        <v>50</v>
      </c>
      <c r="C9">
        <f>应收账款!E6</f>
        <v>1400.25</v>
      </c>
    </row>
    <row r="10" spans="1:4">
      <c r="A10" t="s">
        <v>51</v>
      </c>
      <c r="C10">
        <f>C8+C9-C6</f>
        <v>1325.31</v>
      </c>
    </row>
  </sheetData>
  <dataValidations count="1">
    <dataValidation type="list" showErrorMessage="1" error="请选择通过、待审或拒绝" sqref="D2">
      <formula1>"通过,待审,拒绝"</formula1>
    </dataValidation>
  </dataValidations>
  <pageMargins left="0.75" right="0.75" top="1" bottom="1" header="0" footer="0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应收账款</vt:lpstr>
      <vt:lpstr>库存</vt:lpstr>
      <vt:lpstr>项目费用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Lumina Sheets</dc:creator>
  <cp:lastModifiedBy>huangwei</cp:lastModifiedBy>
  <dcterms:created xsi:type="dcterms:W3CDTF">2026-10-03T14:30:00Z</dcterms:created>
  <dcterms:modified xsi:type="dcterms:W3CDTF">2026-10-03T15:02:16Z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F0FC7BEFF6326ACB78A8C06AA464C22F_42</vt:lpwstr>
  </property>
  <property fmtid="{D5CDD505-2E9C-101B-9397-08002B2CF9AE}" pid="3" name="KSOProductBuildVer">
    <vt:lpwstr>2052-12.1.26055.26055</vt:lpwstr>
  </property>
  <property fmtid="{D5CDD505-2E9C-101B-9397-08002B2CF9AE}" pid="4" name="CalculationRule">
    <vt:i4>0</vt:i4>
  </property>
</Properties>
</file>