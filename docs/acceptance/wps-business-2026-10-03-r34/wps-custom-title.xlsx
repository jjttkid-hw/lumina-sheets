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/>
  </bookViews>
  <sheets>
    <sheet name="应收账款" sheetId="1" r:id="rId1"/>
    <sheet name="库存" sheetId="2" r:id="rId2"/>
    <sheet name="项目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<sst xmlns="http://schemas.openxmlformats.org/spreadsheetml/2006/main" count="61" uniqueCount="52">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</sst>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rgb="FF23644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8" width="18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8">
      <c r="A6" t="s">
        <v>18</v>
      </c>
      <c r="E6">
        <f>SUM(E2:E5)</f>
        <v>1600.25</v>
      </c>
    </row>
    <row r="8" spans="1:8">
      <c r="B8" t="s">
        <v>19</v>
      </c>
      <c r="E8">
        <f>SUMIFS(E2:E5,B2:B5,"华东演示客户",F2:F5,"未结清")</f>
        <v>1800.25</v>
      </c>
    </row>
    <row r="9" spans="1:8">
      <c r="B9" t="s">
        <v>20</v>
      </c>
      <c r="E9">
        <f>COUNTIF(F2:F5,"未结清")</f>
        <v>2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0" width="18" customWidth="1"/>
  </cols>
  <sheetData>
    <row r="1" s="1" customFormat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10">
      <c r="A5" t="s">
        <v>18</v>
      </c>
      <c r="H5">
        <f>SUMPRODUCT(F2:F4,G2:G4)</f>
        <v>448.5</v>
      </c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4" width="18" customWidth="1"/>
  </cols>
  <sheetData>
    <row r="1" s="1" customFormat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 t="s">
        <v>42</v>
      </c>
      <c r="C2">
        <v>123.45</v>
      </c>
      <c r="D2" t="s">
        <v>43</v>
      </c>
    </row>
    <row r="3" spans="1:4">
      <c r="A3" t="s">
        <v>41</v>
      </c>
      <c r="B3" t="s">
        <v>44</v>
      </c>
      <c r="C3">
        <v>200</v>
      </c>
      <c r="D3" t="s">
        <v>43</v>
      </c>
    </row>
    <row r="4" spans="1:4">
      <c r="A4" t="s">
        <v>45</v>
      </c>
      <c r="B4" t="s">
        <v>42</v>
      </c>
      <c r="C4">
        <v>50</v>
      </c>
      <c r="D4" t="s">
        <v>46</v>
      </c>
    </row>
    <row r="5" spans="1:4">
      <c r="A5" t="s">
        <v>45</v>
      </c>
      <c r="B5" t="s">
        <v>42</v>
      </c>
      <c r="C5">
        <v>99.99</v>
      </c>
      <c r="D5" t="s">
        <v>43</v>
      </c>
    </row>
    <row r="6" spans="1:4">
      <c r="A6" t="s">
        <v>47</v>
      </c>
      <c r="C6">
        <f>SUMIF(D2:D5,"通过",C2:C5)</f>
        <v>423.44</v>
      </c>
    </row>
    <row r="7" spans="1:4">
      <c r="A7" t="s">
        <v>48</v>
      </c>
      <c r="C7">
        <f>SUMIFS(C2:C5,B2:B5,"研发",D2:D5,"通过")</f>
        <v>223.44</v>
      </c>
    </row>
    <row r="8" spans="1:4">
      <c r="A8" t="s">
        <v>49</v>
      </c>
      <c r="C8">
        <f>库存!H5</f>
        <v>448.5</v>
      </c>
    </row>
    <row r="9" spans="1:4">
      <c r="A9" t="s">
        <v>50</v>
      </c>
      <c r="C9">
        <f>应收账款!E6</f>
        <v>1600.25</v>
      </c>
    </row>
    <row r="10" spans="1:4">
      <c r="A10" t="s">
        <v>51</v>
      </c>
      <c r="C10">
        <f>C8+C9-C6</f>
        <v>1625.31</v>
      </c>
    </row>
  </sheetData>
  <dataValidations count="1">
    <dataValidation type="list" showErrorMessage="1" errorTitle="审批状态" error="请选择通过、待审或拒绝" sqref="D2">
      <formula1>"通过,待审,拒绝"</formula1>
    </dataValidation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business acceptance</dc:creator>
  <cp:lastModifiedBy>huangwei</cp:lastModifiedBy>
  <dcterms:created xsi:type="dcterms:W3CDTF">2026-10-03T07:30:00Z</dcterms:created>
  <dcterms:modified xsi:type="dcterms:W3CDTF">2026-10-03T14:58:03Z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E65516760B7E43AF7BA7C06A8CA1012F_42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