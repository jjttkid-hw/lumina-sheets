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3"/>
  </bookViews>
  <sheets>
    <sheet sheetId="1" name="参数" state="visible" r:id="rId4"/>
    <sheet sheetId="2" name="工资明细" state="visible" r:id="rId5"/>
    <sheet sheetId="3" name="部门汇总" state="visible" r:id="rId6"/>
    <sheet sheetId="4" name="现金核对" state="visible" r:id="rId7"/>
  </sheets>
  <calcPr calcId="171027" fullCalcOnLoad="1"/>
</workbook>
</file>

<file path=xl/sharedStrings.xml><?xml version="1.0" encoding="utf-8"?>
<sst xmlns="http://schemas.openxmlformats.org/spreadsheetml/2006/main" count="46" uniqueCount="35">
  <si>
    <t>参数</t>
  </si>
  <si>
    <t>数值</t>
  </si>
  <si>
    <t>演示雇主缴费比例</t>
  </si>
  <si>
    <t>期初现金</t>
  </si>
  <si>
    <t>员工编号</t>
  </si>
  <si>
    <t>部门</t>
  </si>
  <si>
    <t>基本工资</t>
  </si>
  <si>
    <t>出勤比例</t>
  </si>
  <si>
    <t>奖金调整</t>
  </si>
  <si>
    <t>报销</t>
  </si>
  <si>
    <t>扣款</t>
  </si>
  <si>
    <t>应发工资</t>
  </si>
  <si>
    <t>实付员工</t>
  </si>
  <si>
    <t>雇主缴费</t>
  </si>
  <si>
    <t>现金成本</t>
  </si>
  <si>
    <t>DEMO-001</t>
  </si>
  <si>
    <t>研发</t>
  </si>
  <si>
    <t>DEMO-002</t>
  </si>
  <si>
    <t>销售</t>
  </si>
  <si>
    <t>DEMO-003</t>
  </si>
  <si>
    <t>DEMO-004</t>
  </si>
  <si>
    <t>运营</t>
  </si>
  <si>
    <t>合计</t>
  </si>
  <si>
    <t>人数</t>
  </si>
  <si>
    <t>指标</t>
  </si>
  <si>
    <t>金额</t>
  </si>
  <si>
    <t>期末现金</t>
  </si>
  <si>
    <t>部门成本差额</t>
  </si>
  <si>
    <t>报销合计</t>
  </si>
  <si>
    <t>出勤折算基本工资</t>
  </si>
  <si>
    <t>员工平均实付</t>
  </si>
  <si>
    <t>最高实付</t>
  </si>
  <si>
    <t>最低实付</t>
  </si>
  <si>
    <t>有奖金员工</t>
  </si>
  <si>
    <t>研发报销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</si>
</sst>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0.12</v>
      </c>
    </row>
    <row r="3" spans="1:2" x14ac:dyDescent="0.25">
      <c r="A3" t="s">
        <v>3</v>
      </c>
      <c r="B3">
        <v>50000</v>
      </c>
    </row>
  </sheetData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5">
      <c r="A2" t="s">
        <v>15</v>
      </c>
      <c r="B2" t="s">
        <v>16</v>
      </c>
      <c r="C2" s="2">
        <v>10000</v>
      </c>
      <c r="D2" s="3">
        <v>1</v>
      </c>
      <c r="E2" s="2">
        <v>1200</v>
      </c>
      <c r="F2" s="2">
        <v>245.67</v>
      </c>
      <c r="G2" s="2">
        <v>500</v>
      </c>
      <c r="H2" s="2">
        <f>ROUND(C2*D2+E2,2)</f>
      </c>
      <c r="I2" s="2">
        <f>ROUND(H2+F2-G2,2)</f>
      </c>
      <c r="J2" s="2">
        <f>ROUND(H2*'参数'!$B$2,2)</f>
      </c>
      <c r="K2" s="2">
        <f>ROUND(H2+F2+J2,2)</f>
      </c>
    </row>
    <row r="3" spans="1:11" x14ac:dyDescent="0.25">
      <c r="A3" t="s">
        <v>17</v>
      </c>
      <c r="B3" t="s">
        <v>18</v>
      </c>
      <c r="C3" s="2">
        <v>8000</v>
      </c>
      <c r="D3" s="3">
        <v>0.5</v>
      </c>
      <c r="E3" s="2">
        <v>0</v>
      </c>
      <c r="F3" s="2">
        <v>0</v>
      </c>
      <c r="G3" s="2">
        <v>320</v>
      </c>
      <c r="H3" s="2">
        <f>ROUND(C3*D3+E3,2)</f>
      </c>
      <c r="I3" s="2">
        <f>ROUND(H3+F3-G3,2)</f>
      </c>
      <c r="J3" s="2">
        <f>ROUND(H3*'参数'!$B$2,2)</f>
      </c>
      <c r="K3" s="2">
        <f>ROUND(H3+F3+J3,2)</f>
      </c>
    </row>
    <row r="4" spans="1:11" x14ac:dyDescent="0.25">
      <c r="A4" t="s">
        <v>19</v>
      </c>
      <c r="B4" t="s">
        <v>16</v>
      </c>
      <c r="C4" s="2">
        <v>6400</v>
      </c>
      <c r="D4" s="3">
        <v>0.875</v>
      </c>
      <c r="E4" s="2">
        <v>500</v>
      </c>
      <c r="F4" s="2">
        <v>88.88</v>
      </c>
      <c r="G4" s="2">
        <v>400</v>
      </c>
      <c r="H4" s="2">
        <f>ROUND(C4*D4+E4,2)</f>
      </c>
      <c r="I4" s="2">
        <f>ROUND(H4+F4-G4,2)</f>
      </c>
      <c r="J4" s="2">
        <f>ROUND(H4*'参数'!$B$2,2)</f>
      </c>
      <c r="K4" s="2">
        <f>ROUND(H4+F4+J4,2)</f>
      </c>
    </row>
    <row r="5" spans="1:11" x14ac:dyDescent="0.25">
      <c r="A5" t="s">
        <v>20</v>
      </c>
      <c r="B5" t="s">
        <v>21</v>
      </c>
      <c r="C5" s="2">
        <v>7500</v>
      </c>
      <c r="D5" s="3">
        <v>1</v>
      </c>
      <c r="E5" s="2">
        <v>-100</v>
      </c>
      <c r="F5" s="2">
        <v>0</v>
      </c>
      <c r="G5" s="2">
        <v>450</v>
      </c>
      <c r="H5" s="2">
        <f>ROUND(C5*D5+E5,2)</f>
      </c>
      <c r="I5" s="2">
        <f>ROUND(H5+F5-G5,2)</f>
      </c>
      <c r="J5" s="2">
        <f>ROUND(H5*'参数'!$B$2,2)</f>
      </c>
      <c r="K5" s="2">
        <f>ROUND(H5+F5+J5,2)</f>
      </c>
    </row>
    <row r="6" spans="1:11" x14ac:dyDescent="0.25">
      <c r="A6" t="s">
        <v>22</v>
      </c>
      <c r="C6" s="2">
        <f>SUM(C2:C5)</f>
      </c>
      <c r="E6" s="2">
        <f>SUM(E2:E5)</f>
      </c>
      <c r="F6" s="2">
        <f>SUM(F2:F5)</f>
      </c>
      <c r="G6" s="2">
        <f>SUM(G2:G5)</f>
      </c>
      <c r="H6" s="2">
        <f>SUM(H2:H5)</f>
      </c>
      <c r="I6" s="2">
        <f>SUM(I2:I5)</f>
      </c>
      <c r="J6" s="2">
        <f>SUM(J2:J5)</f>
      </c>
      <c r="K6" s="2">
        <f>SUM(K2:K5)</f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5</v>
      </c>
      <c r="B1" s="1" t="s">
        <v>23</v>
      </c>
      <c r="C1" s="1" t="s">
        <v>11</v>
      </c>
      <c r="D1" s="1" t="s">
        <v>12</v>
      </c>
      <c r="E1" s="1" t="s">
        <v>14</v>
      </c>
    </row>
    <row r="2" spans="1:5" x14ac:dyDescent="0.25">
      <c r="A2" t="s">
        <v>16</v>
      </c>
      <c r="B2">
        <f>COUNTIF('工资明细'!B2:B5,A2)</f>
      </c>
      <c r="C2">
        <f>SUMIF('工资明细'!B2:B5,A2,'工资明细'!H2:H5)</f>
      </c>
      <c r="D2">
        <f>SUMIF('工资明细'!B2:B5,A2,'工资明细'!I2:I5)</f>
      </c>
      <c r="E2">
        <f>SUMIF('工资明细'!B2:B5,A2,'工资明细'!K2:K5)</f>
      </c>
    </row>
    <row r="3" spans="1:5" x14ac:dyDescent="0.25">
      <c r="A3" t="s">
        <v>18</v>
      </c>
      <c r="B3">
        <f>COUNTIF('工资明细'!B2:B5,A3)</f>
      </c>
      <c r="C3">
        <f>SUMIF('工资明细'!B2:B5,A3,'工资明细'!H2:H5)</f>
      </c>
      <c r="D3">
        <f>SUMIF('工资明细'!B2:B5,A3,'工资明细'!I2:I5)</f>
      </c>
      <c r="E3">
        <f>SUMIF('工资明细'!B2:B5,A3,'工资明细'!K2:K5)</f>
      </c>
    </row>
    <row r="4" spans="1:5" x14ac:dyDescent="0.25">
      <c r="A4" t="s">
        <v>21</v>
      </c>
      <c r="B4">
        <f>COUNTIF('工资明细'!B2:B5,A4)</f>
      </c>
      <c r="C4">
        <f>SUMIF('工资明细'!B2:B5,A4,'工资明细'!H2:H5)</f>
      </c>
      <c r="D4">
        <f>SUMIF('工资明细'!B2:B5,A4,'工资明细'!I2:I5)</f>
      </c>
      <c r="E4">
        <f>SUMIF('工资明细'!B2:B5,A4,'工资明细'!K2:K5)</f>
      </c>
    </row>
    <row r="5" spans="1:5" x14ac:dyDescent="0.25">
      <c r="A5" t="s">
        <v>22</v>
      </c>
      <c r="B5">
        <f>SUM(B2:B4)</f>
      </c>
      <c r="C5">
        <f>SUM(C2:C4)</f>
      </c>
      <c r="D5">
        <f>SUM(D2:D4)</f>
      </c>
      <c r="E5">
        <f>SUM(E2:E4)</f>
      </c>
    </row>
  </sheetData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 t="s">
        <v>3</v>
      </c>
      <c r="B2">
        <f>'参数'!B3</f>
      </c>
    </row>
    <row r="3" spans="1:2" x14ac:dyDescent="0.25">
      <c r="A3" t="s">
        <v>14</v>
      </c>
      <c r="B3">
        <f>'工资明细'!K6</f>
      </c>
    </row>
    <row r="4" spans="1:2" x14ac:dyDescent="0.25">
      <c r="A4" t="s">
        <v>26</v>
      </c>
      <c r="B4">
        <f>ROUND(B2-B3,2)</f>
      </c>
    </row>
    <row r="5" spans="1:2" x14ac:dyDescent="0.25">
      <c r="A5" t="s">
        <v>27</v>
      </c>
      <c r="B5">
        <f>ROUND('部门汇总'!E5-B3,2)</f>
      </c>
    </row>
    <row r="6" spans="1:2" x14ac:dyDescent="0.25">
      <c r="A6" t="s">
        <v>28</v>
      </c>
      <c r="B6">
        <f>'工资明细'!F6</f>
      </c>
    </row>
    <row r="7" spans="1:2" x14ac:dyDescent="0.25">
      <c r="A7" t="s">
        <v>29</v>
      </c>
      <c r="B7">
        <f>SUMPRODUCT('工资明细'!C2:C5,'工资明细'!D2:D5)</f>
      </c>
    </row>
    <row r="8" spans="1:2" x14ac:dyDescent="0.25">
      <c r="A8" t="s">
        <v>30</v>
      </c>
      <c r="B8">
        <f>AVERAGE('工资明细'!I2:I5)</f>
      </c>
    </row>
    <row r="9" spans="1:2" x14ac:dyDescent="0.25">
      <c r="A9" t="s">
        <v>31</v>
      </c>
      <c r="B9">
        <f>MAX('工资明细'!I2:I5)</f>
      </c>
    </row>
    <row r="10" spans="1:2" x14ac:dyDescent="0.25">
      <c r="A10" t="s">
        <v>32</v>
      </c>
      <c r="B10">
        <f>MIN('工资明细'!I2:I5)</f>
      </c>
    </row>
    <row r="11" spans="1:2" x14ac:dyDescent="0.25">
      <c r="A11" t="s">
        <v>33</v>
      </c>
      <c r="B11">
        <f>COUNTIFS('工资明细'!E2:E5,"&gt;0",'工资明细'!D2:D5,"&gt;=0.8")</f>
      </c>
    </row>
    <row r="12" spans="1:2" x14ac:dyDescent="0.25">
      <c r="A12" t="s">
        <v>34</v>
      </c>
      <c r="B12">
        <f>SUMIFS('工资明细'!F2:F5,'工资明细'!B2:B5,"研发",'工资明细'!F2:F5,"&gt;0")</f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参数</vt:lpstr>
      <vt:lpstr>工资明细</vt:lpstr>
      <vt:lpstr>部门汇总</vt:lpstr>
      <vt:lpstr>现金核对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payroll acceptance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2026-10-05T00:00:00Z</dcterms:modified>
</cp:coreProperties>
</file>