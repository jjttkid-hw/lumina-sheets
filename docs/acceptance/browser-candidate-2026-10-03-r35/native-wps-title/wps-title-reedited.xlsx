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2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<sst xmlns="http://schemas.openxmlformats.org/spreadsheetml/2006/main" count="61" uniqueCount="52">
  <si>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</si>
  <si>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</si>
  <si>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</si>
  <si>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</si>
  <si>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</si>
  <si>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</si>
  <si>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</si>
  <si>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</si>
  <si>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</si>
  <si>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</si>
  <si>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</si>
  <si>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</si>
  <si>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</si>
  <si>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</si>
  <si>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</si>
  <si>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</si>
  <si>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</si>
  <si>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</si>
  <si>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</si>
  <si>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</si>
  <si>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</si>
  <si>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</si>
  <si>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</si>
  <si>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</si>
  <si>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</si>
  <si>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</si>
  <si>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</si>
  <si>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</si>
  <si>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</si>
  <si>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</si>
  <si>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</si>
  <si>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</si>
  <si>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</si>
  <si>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</si>
  <si>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</si>
  <si>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</si>
  <si>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</si>
  <si>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</si>
  <si>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</si>
  <si>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</si>
  <si>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</si>
  <si>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</si>
  <si>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</si>
  <si>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待审</t>
  </si>
  <si>
    <t>销售</t>
  </si>
  <si>
    <t>通过</t>
  </si>
  <si>
    <t>项目乙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</si>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</sst>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color rgb="FF23644D"/>
      <name val="Aptos"/>
      <charset val="134"/>
    </font>
    <font>
      <sz val="11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1600.25</v>
      </c>
    </row>
    <row r="8" spans="1:8">
      <c r="B8" t="s">
        <v>19</v>
      </c>
      <c r="E8">
        <f>SUMIFS(E2:E5,B2:B5,"华东演示客户",F2:F5,"未结清")</f>
        <v>1800.25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448.5</v>
      </c>
    </row>
  </sheetData>
  <pageMargins left="0.75" right="0.75" top="1" bottom="1" header="0" footer="0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" defaultRowHeight="16.8" outlineLevelCol="3"/>
  <cols>
    <col min="1" max="4" width="18" customWidth="1"/>
  </cols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45</v>
      </c>
    </row>
    <row r="4" spans="1:4">
      <c r="A4" t="s">
        <v>46</v>
      </c>
      <c r="B4" t="s">
        <v>42</v>
      </c>
      <c r="C4">
        <v>50</v>
      </c>
      <c r="D4" t="s">
        <v>43</v>
      </c>
    </row>
    <row r="5" spans="1:4">
      <c r="A5" t="s">
        <v>46</v>
      </c>
      <c r="B5" t="s">
        <v>42</v>
      </c>
      <c r="C5">
        <v>99.99</v>
      </c>
      <c r="D5" t="s">
        <v>45</v>
      </c>
    </row>
    <row r="6" spans="1:4">
      <c r="A6" t="s">
        <v>47</v>
      </c>
      <c r="C6">
        <f>SUMIF(D2:D5,"通过",C2:C5)</f>
        <v>299.99</v>
      </c>
    </row>
    <row r="7" spans="1:4">
      <c r="A7" t="s">
        <v>48</v>
      </c>
      <c r="C7">
        <f>SUMIFS(C2:C5,B2:B5,"研发",D2:D5,"通过")</f>
        <v>99.99</v>
      </c>
    </row>
    <row r="8" spans="1:4">
      <c r="A8" t="s">
        <v>49</v>
      </c>
      <c r="C8">
        <f>库存!H5</f>
        <v>448.5</v>
      </c>
    </row>
    <row r="9" spans="1:4">
      <c r="A9" t="s">
        <v>50</v>
      </c>
      <c r="C9">
        <f>应收账款!E6</f>
        <v>1600.25</v>
      </c>
    </row>
    <row r="10" spans="1:4">
      <c r="A10" t="s">
        <v>51</v>
      </c>
      <c r="C10">
        <f>C8+C9-C6</f>
        <v>1748.76</v>
      </c>
    </row>
  </sheetData>
  <dataValidations count="1">
    <dataValidation type="list" showErrorMessage="1" errorTitle="审批状态" error="请选择通过、待审或拒绝" sqref="D2">
      <formula1>"通过,待审,拒绝"</formula1>
    </dataValidation>
  </dataValidations>
  <pageMargins left="0.75" right="0.75" top="1" bottom="1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2026-10-03T14:54:00Z</dcterms:created>
  <dcterms:modified xsi:type="dcterms:W3CDTF">2026-10-03T15:26:55Z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F24A0322B05CE18C1CAEC06AABC90C7A_42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