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2"/>
  </bookViews>
  <sheets>
    <sheet name="价目表" sheetId="1" r:id="rId1"/>
    <sheet name="折扣档位" sheetId="2" r:id="rId2"/>
    <sheet name="报价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<sst xmlns="http://schemas.openxmlformats.org/spreadsheetml/2006/main" count="26" uniqueCount="18">
  <si>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SKU</t>
  </si>
  <si>
    <t>品名</t>
  </si>
  <si>
    <t>单价</t>
  </si>
  <si>
    <t>A-001</t>
  </si>
  <si>
    <t>组件甲</t>
  </si>
  <si>
    <t>A-002</t>
  </si>
  <si>
    <t>组件乙</t>
  </si>
  <si>
    <t>A-003</t>
  </si>
  <si>
    <t>组件丙</t>
  </si>
  <si>
    <t>数量下限</t>
  </si>
  <si>
    <t>折扣</t>
  </si>
  <si>
    <t>数量</t>
  </si>
  <si>
    <t>应付</t>
  </si>
  <si>
    <t>查找位置</t>
  </si>
  <si>
    <t>UNKNOWN</t>
  </si>
  <si>
    <t>合计</t>
  </si>
  <si>
    <t>批量有效报价</t>
  </si>
  <si>
    <t>A 系列数量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</si>
</sst>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3" outlineLevelCol="2"/>
  <cols>
    <col min="1" max="3" width="20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12.5</v>
      </c>
    </row>
    <row r="3" spans="1:3">
      <c r="A3" t="s">
        <v>5</v>
      </c>
      <c r="B3" t="s">
        <v>6</v>
      </c>
      <c r="C3">
        <v>8.25</v>
      </c>
    </row>
    <row r="4" spans="1:3">
      <c r="A4" t="s">
        <v>7</v>
      </c>
      <c r="B4" t="s">
        <v>8</v>
      </c>
      <c r="C4">
        <v>3.2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1"/>
  <cols>
    <col min="1" max="2" width="20" customWidth="1"/>
  </cols>
  <sheetData>
    <row r="1" s="1" customFormat="1" spans="1:2">
      <c r="A1" s="1" t="s">
        <v>9</v>
      </c>
      <c r="B1" s="1" t="s">
        <v>10</v>
      </c>
    </row>
    <row r="2" spans="1:2">
      <c r="A2">
        <v>0</v>
      </c>
      <c r="B2">
        <v>0</v>
      </c>
    </row>
    <row r="3" spans="1:2">
      <c r="A3">
        <v>10</v>
      </c>
      <c r="B3">
        <v>0.05</v>
      </c>
    </row>
    <row r="4" spans="1:2">
      <c r="A4">
        <v>50</v>
      </c>
      <c r="B4">
        <v>0.1</v>
      </c>
    </row>
    <row r="5" spans="1:2">
      <c r="A5">
        <v>100</v>
      </c>
      <c r="B5">
        <v>0.15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7" width="20" customWidth="1"/>
  </cols>
  <sheetData>
    <row r="1" s="1" customFormat="1" spans="1:7">
      <c r="A1" s="1" t="s">
        <v>0</v>
      </c>
      <c r="B1" s="1" t="s">
        <v>11</v>
      </c>
      <c r="C1" s="1" t="s">
        <v>1</v>
      </c>
      <c r="D1" s="1" t="s">
        <v>2</v>
      </c>
      <c r="E1" s="1" t="s">
        <v>10</v>
      </c>
      <c r="F1" s="1" t="s">
        <v>12</v>
      </c>
      <c r="G1" s="1" t="s">
        <v>13</v>
      </c>
    </row>
    <row r="2" spans="1:7">
      <c r="A2" t="s">
        <v>3</v>
      </c>
      <c r="B2">
        <v>1</v>
      </c>
      <c r="C2" t="str">
        <f>IFERROR(INDEX(价目表!B2:B4,MATCH(A2,价目表!A2:A4,0)),"缺货")</f>
        <v>组件甲</v>
      </c>
      <c r="D2">
        <f>IFERROR(VLOOKUP(A2,价目表!A2:C4,3,FALSE),0)</f>
        <v>12.5</v>
      </c>
      <c r="E2" s="2">
        <f>VLOOKUP(B2,折扣档位!A2:B5,2,TRUE)</f>
        <v>0</v>
      </c>
      <c r="F2" s="3">
        <f>ROUND(B2*D2*(1-E2),2)</f>
        <v>12.5</v>
      </c>
      <c r="G2">
        <f>MATCH(A2,价目表!A2:A4,0)</f>
        <v>1</v>
      </c>
    </row>
    <row r="3" spans="1:7">
      <c r="A3" t="s">
        <v>5</v>
      </c>
      <c r="B3">
        <v>10</v>
      </c>
      <c r="C3" t="str">
        <f>IFERROR(INDEX(价目表!B2:B4,MATCH(A3,价目表!A2:A4,0)),"缺货")</f>
        <v>组件乙</v>
      </c>
      <c r="D3">
        <f>IFERROR(VLOOKUP(A3,价目表!A2:C4,3,FALSE),0)</f>
        <v>8.25</v>
      </c>
      <c r="E3" s="2">
        <f>VLOOKUP(B3,折扣档位!A2:B5,2,TRUE)</f>
        <v>0.05</v>
      </c>
      <c r="F3" s="3">
        <f>ROUND(B3*D3*(1-E3),2)</f>
        <v>78.38</v>
      </c>
      <c r="G3">
        <f>MATCH(A3,价目表!A2:A4,0)</f>
        <v>2</v>
      </c>
    </row>
    <row r="4" spans="1:7">
      <c r="A4" t="s">
        <v>7</v>
      </c>
      <c r="B4">
        <v>50</v>
      </c>
      <c r="C4" t="str">
        <f>IFERROR(INDEX(价目表!B2:B4,MATCH(A4,价目表!A2:A4,0)),"缺货")</f>
        <v>组件丙</v>
      </c>
      <c r="D4">
        <f>IFERROR(VLOOKUP(A4,价目表!A2:C4,3,FALSE),0)</f>
        <v>3.2</v>
      </c>
      <c r="E4" s="2">
        <f>VLOOKUP(B4,折扣档位!A2:B5,2,TRUE)</f>
        <v>0.1</v>
      </c>
      <c r="F4" s="3">
        <f>ROUND(B4*D4*(1-E4),2)</f>
        <v>144</v>
      </c>
      <c r="G4">
        <f>MATCH(A4,价目表!A2:A4,0)</f>
        <v>3</v>
      </c>
    </row>
    <row r="5" spans="1:7">
      <c r="A5" t="s">
        <v>3</v>
      </c>
      <c r="B5">
        <v>100</v>
      </c>
      <c r="C5" t="str">
        <f>IFERROR(INDEX(价目表!B2:B4,MATCH(A5,价目表!A2:A4,0)),"缺货")</f>
        <v>组件甲</v>
      </c>
      <c r="D5">
        <f>IFERROR(VLOOKUP(A5,价目表!A2:C4,3,FALSE),0)</f>
        <v>12.5</v>
      </c>
      <c r="E5" s="2">
        <f>VLOOKUP(B5,折扣档位!A2:B5,2,TRUE)</f>
        <v>0.15</v>
      </c>
      <c r="F5" s="3">
        <f>ROUND(B5*D5*(1-E5),2)</f>
        <v>1062.5</v>
      </c>
      <c r="G5">
        <f>MATCH(A5,价目表!A2:A4,0)</f>
        <v>1</v>
      </c>
    </row>
    <row r="6" spans="1:7">
      <c r="A6" t="s">
        <v>14</v>
      </c>
      <c r="B6">
        <v>2</v>
      </c>
      <c r="C6" t="str">
        <f>IFERROR(INDEX(价目表!B2:B4,MATCH(A6,价目表!A2:A4,0)),"缺货")</f>
        <v>缺货</v>
      </c>
      <c r="D6">
        <f>IFERROR(VLOOKUP(A6,价目表!A2:C4,3,FALSE),0)</f>
        <v>0</v>
      </c>
      <c r="E6" s="2">
        <f>VLOOKUP(B6,折扣档位!A2:B5,2,TRUE)</f>
        <v>0</v>
      </c>
      <c r="F6" s="3">
        <f>ROUND(B6*D6*(1-E6),2)</f>
        <v>0</v>
      </c>
      <c r="G6" t="e">
        <f>MATCH(A6,价目表!A2:A4,0)</f>
        <v>#N/A</v>
      </c>
    </row>
    <row r="7" spans="1:7">
      <c r="A7" t="s">
        <v>15</v>
      </c>
      <c r="F7">
        <f>SUM(F2:F6)</f>
        <v>1297.38</v>
      </c>
    </row>
    <row r="9" spans="1:7">
      <c r="A9" t="s">
        <v>16</v>
      </c>
      <c r="F9">
        <f>COUNTIFS(B2:B6,"&gt;=10",D2:D6,"&gt;0")</f>
        <v>3</v>
      </c>
    </row>
    <row r="10" spans="1:7">
      <c r="A10" t="s">
        <v>17</v>
      </c>
      <c r="F10">
        <f>SUMIF(A2:A6,"A-*",B2:B6)</f>
        <v>161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价目表</vt:lpstr>
      <vt:lpstr>折扣档位</vt:lpstr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lookup acceptance</dc:creator>
  <cp:lastModifiedBy>huangwei</cp:lastModifiedBy>
  <dcterms:created xsi:type="dcterms:W3CDTF">2026-10-03T07:30:00Z</dcterms:created>
  <dcterms:modified xsi:type="dcterms:W3CDTF">2026-10-03T17:44:11Z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17CBF97243D3CC236BCEC06AB85B160B_42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