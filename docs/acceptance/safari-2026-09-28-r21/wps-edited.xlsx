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900" activeTab="1"/>
  </bookViews>
  <sheets>
    <sheet name="销售明细" sheetId="1" r:id="rId1"/>
    <sheet name="经营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<sst xmlns="http://schemas.openxmlformats.org/spreadsheetml/2006/main" count="86" uniqueCount="23">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</sst>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4">
    <font>
      <sz val="11"/>
      <color theme="1"/>
      <name val="宋体"/>
      <charset val="134"/>
      <scheme val="minor"/>
    </font>
    <font>
      <b/>
      <sz val="11"/>
      <name val="Aptos"/>
      <charset val="134"/>
    </font>
    <font>
      <sz val="11"/>
      <name val="Aptos"/>
      <charset val="134"/>
    </font>
    <font>
      <b/>
      <sz val="11"/>
      <color rgb="FF23644D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2EC"/>
        <bgColor indexed="64"/>
      </patternFill>
    </fill>
    <fill>
      <patternFill patternType="solid">
        <fgColor rgb="FFF0F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2" fillId="0" borderId="0" xfId="0" applyNumberFormat="1" applyFont="1"/>
    <xf numFmtId="0" fontId="3" fillId="2" borderId="0" xfId="0" applyFont="1" applyFill="1"/>
    <xf numFmtId="4" fontId="1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6.8" outlineLevelCol="4"/>
  <cols>
    <col min="1" max="1" width="12.8557692307692" customWidth="1"/>
    <col min="2" max="5" width="20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s="2">
        <v>300000</v>
      </c>
      <c r="D2" s="2">
        <v>60000</v>
      </c>
      <c r="E2" s="2">
        <f t="shared" ref="E2:E37" si="0">C2-D2</f>
        <v>240000</v>
      </c>
    </row>
    <row r="3" spans="1:5">
      <c r="A3" t="s">
        <v>5</v>
      </c>
      <c r="B3" t="s">
        <v>7</v>
      </c>
      <c r="C3" s="2">
        <v>107300</v>
      </c>
      <c r="D3" s="2">
        <v>62900</v>
      </c>
      <c r="E3" s="2">
        <f t="shared" si="0"/>
        <v>44400</v>
      </c>
    </row>
    <row r="4" spans="1:5">
      <c r="A4" t="s">
        <v>5</v>
      </c>
      <c r="B4" t="s">
        <v>8</v>
      </c>
      <c r="C4" s="2">
        <v>114600</v>
      </c>
      <c r="D4" s="2">
        <v>65800</v>
      </c>
      <c r="E4" s="2">
        <f t="shared" si="0"/>
        <v>48800</v>
      </c>
    </row>
    <row r="5" spans="1:5">
      <c r="A5" t="s">
        <v>5</v>
      </c>
      <c r="B5" t="s">
        <v>6</v>
      </c>
      <c r="C5" s="2">
        <v>121900</v>
      </c>
      <c r="D5" s="2">
        <v>68700</v>
      </c>
      <c r="E5" s="2">
        <f t="shared" si="0"/>
        <v>53200</v>
      </c>
    </row>
    <row r="6" spans="1:5">
      <c r="A6" t="s">
        <v>5</v>
      </c>
      <c r="B6" t="s">
        <v>7</v>
      </c>
      <c r="C6" s="2">
        <v>129200</v>
      </c>
      <c r="D6" s="2">
        <v>71600</v>
      </c>
      <c r="E6" s="2">
        <f t="shared" si="0"/>
        <v>57600</v>
      </c>
    </row>
    <row r="7" spans="1:5">
      <c r="A7" t="s">
        <v>5</v>
      </c>
      <c r="B7" t="s">
        <v>8</v>
      </c>
      <c r="C7" s="2">
        <v>136500</v>
      </c>
      <c r="D7" s="2">
        <v>74500</v>
      </c>
      <c r="E7" s="2">
        <f t="shared" si="0"/>
        <v>62000</v>
      </c>
    </row>
    <row r="8" spans="1:5">
      <c r="A8" t="s">
        <v>9</v>
      </c>
      <c r="B8" t="s">
        <v>6</v>
      </c>
      <c r="C8" s="2">
        <v>143800</v>
      </c>
      <c r="D8" s="2">
        <v>77400</v>
      </c>
      <c r="E8" s="2">
        <f t="shared" si="0"/>
        <v>66400</v>
      </c>
    </row>
    <row r="9" spans="1:5">
      <c r="A9" t="s">
        <v>9</v>
      </c>
      <c r="B9" t="s">
        <v>7</v>
      </c>
      <c r="C9" s="2">
        <v>151100</v>
      </c>
      <c r="D9" s="2">
        <v>80300</v>
      </c>
      <c r="E9" s="2">
        <f t="shared" si="0"/>
        <v>70800</v>
      </c>
    </row>
    <row r="10" spans="1:5">
      <c r="A10" t="s">
        <v>9</v>
      </c>
      <c r="B10" t="s">
        <v>8</v>
      </c>
      <c r="C10" s="2">
        <v>158400</v>
      </c>
      <c r="D10" s="2">
        <v>83200</v>
      </c>
      <c r="E10" s="2">
        <f t="shared" si="0"/>
        <v>75200</v>
      </c>
    </row>
    <row r="11" spans="1:5">
      <c r="A11" t="s">
        <v>9</v>
      </c>
      <c r="B11" t="s">
        <v>6</v>
      </c>
      <c r="C11" s="2">
        <v>165700</v>
      </c>
      <c r="D11" s="2">
        <v>86100</v>
      </c>
      <c r="E11" s="2">
        <f t="shared" si="0"/>
        <v>79600</v>
      </c>
    </row>
    <row r="12" spans="1:5">
      <c r="A12" t="s">
        <v>9</v>
      </c>
      <c r="B12" t="s">
        <v>7</v>
      </c>
      <c r="C12" s="2">
        <v>173000</v>
      </c>
      <c r="D12" s="2">
        <v>89000</v>
      </c>
      <c r="E12" s="2">
        <f t="shared" si="0"/>
        <v>84000</v>
      </c>
    </row>
    <row r="13" spans="1:5">
      <c r="A13" t="s">
        <v>9</v>
      </c>
      <c r="B13" t="s">
        <v>8</v>
      </c>
      <c r="C13" s="2">
        <v>180300</v>
      </c>
      <c r="D13" s="2">
        <v>91900</v>
      </c>
      <c r="E13" s="2">
        <f t="shared" si="0"/>
        <v>88400</v>
      </c>
    </row>
    <row r="14" spans="1:5">
      <c r="A14" t="s">
        <v>10</v>
      </c>
      <c r="B14" t="s">
        <v>6</v>
      </c>
      <c r="C14" s="2">
        <v>187600</v>
      </c>
      <c r="D14" s="2">
        <v>94800</v>
      </c>
      <c r="E14" s="2">
        <f t="shared" si="0"/>
        <v>92800</v>
      </c>
    </row>
    <row r="15" spans="1:5">
      <c r="A15" t="s">
        <v>10</v>
      </c>
      <c r="B15" t="s">
        <v>7</v>
      </c>
      <c r="C15" s="2">
        <v>194900</v>
      </c>
      <c r="D15" s="2">
        <v>97700</v>
      </c>
      <c r="E15" s="2">
        <f t="shared" si="0"/>
        <v>97200</v>
      </c>
    </row>
    <row r="16" spans="1:5">
      <c r="A16" t="s">
        <v>10</v>
      </c>
      <c r="B16" t="s">
        <v>8</v>
      </c>
      <c r="C16" s="2">
        <v>202200</v>
      </c>
      <c r="D16" s="2">
        <v>100600</v>
      </c>
      <c r="E16" s="2">
        <f t="shared" si="0"/>
        <v>101600</v>
      </c>
    </row>
    <row r="17" spans="1:5">
      <c r="A17" t="s">
        <v>10</v>
      </c>
      <c r="B17" t="s">
        <v>6</v>
      </c>
      <c r="C17" s="2">
        <v>209500</v>
      </c>
      <c r="D17" s="2">
        <v>103500</v>
      </c>
      <c r="E17" s="2">
        <f t="shared" si="0"/>
        <v>106000</v>
      </c>
    </row>
    <row r="18" spans="1:5">
      <c r="A18" t="s">
        <v>10</v>
      </c>
      <c r="B18" t="s">
        <v>7</v>
      </c>
      <c r="C18" s="2">
        <v>216800</v>
      </c>
      <c r="D18" s="2">
        <v>106400</v>
      </c>
      <c r="E18" s="2">
        <f t="shared" si="0"/>
        <v>110400</v>
      </c>
    </row>
    <row r="19" spans="1:5">
      <c r="A19" t="s">
        <v>10</v>
      </c>
      <c r="B19" t="s">
        <v>8</v>
      </c>
      <c r="C19" s="2">
        <v>224100</v>
      </c>
      <c r="D19" s="2">
        <v>109300</v>
      </c>
      <c r="E19" s="2">
        <f t="shared" si="0"/>
        <v>114800</v>
      </c>
    </row>
    <row r="20" spans="1:5">
      <c r="A20" t="s">
        <v>11</v>
      </c>
      <c r="B20" t="s">
        <v>6</v>
      </c>
      <c r="C20" s="2">
        <v>231400</v>
      </c>
      <c r="D20" s="2">
        <v>112200</v>
      </c>
      <c r="E20" s="2">
        <f t="shared" si="0"/>
        <v>119200</v>
      </c>
    </row>
    <row r="21" spans="1:5">
      <c r="A21" t="s">
        <v>11</v>
      </c>
      <c r="B21" t="s">
        <v>7</v>
      </c>
      <c r="C21" s="2">
        <v>238700</v>
      </c>
      <c r="D21" s="2">
        <v>115100</v>
      </c>
      <c r="E21" s="2">
        <f t="shared" si="0"/>
        <v>123600</v>
      </c>
    </row>
    <row r="22" spans="1:5">
      <c r="A22" t="s">
        <v>11</v>
      </c>
      <c r="B22" t="s">
        <v>8</v>
      </c>
      <c r="C22" s="2">
        <v>246000</v>
      </c>
      <c r="D22" s="2">
        <v>118000</v>
      </c>
      <c r="E22" s="2">
        <f t="shared" si="0"/>
        <v>128000</v>
      </c>
    </row>
    <row r="23" spans="1:5">
      <c r="A23" t="s">
        <v>11</v>
      </c>
      <c r="B23" t="s">
        <v>6</v>
      </c>
      <c r="C23" s="2">
        <v>253300</v>
      </c>
      <c r="D23" s="2">
        <v>120900</v>
      </c>
      <c r="E23" s="2">
        <f t="shared" si="0"/>
        <v>132400</v>
      </c>
    </row>
    <row r="24" spans="1:5">
      <c r="A24" t="s">
        <v>11</v>
      </c>
      <c r="B24" t="s">
        <v>7</v>
      </c>
      <c r="C24" s="2">
        <v>260600</v>
      </c>
      <c r="D24" s="2">
        <v>123800</v>
      </c>
      <c r="E24" s="2">
        <f t="shared" si="0"/>
        <v>136800</v>
      </c>
    </row>
    <row r="25" spans="1:5">
      <c r="A25" t="s">
        <v>11</v>
      </c>
      <c r="B25" t="s">
        <v>8</v>
      </c>
      <c r="C25" s="2">
        <v>267900</v>
      </c>
      <c r="D25" s="2">
        <v>126700</v>
      </c>
      <c r="E25" s="2">
        <f t="shared" si="0"/>
        <v>141200</v>
      </c>
    </row>
    <row r="26" spans="1:5">
      <c r="A26" t="s">
        <v>12</v>
      </c>
      <c r="B26" t="s">
        <v>6</v>
      </c>
      <c r="C26" s="2">
        <v>275200</v>
      </c>
      <c r="D26" s="2">
        <v>129600</v>
      </c>
      <c r="E26" s="2">
        <f t="shared" si="0"/>
        <v>145600</v>
      </c>
    </row>
    <row r="27" spans="1:5">
      <c r="A27" t="s">
        <v>12</v>
      </c>
      <c r="B27" t="s">
        <v>7</v>
      </c>
      <c r="C27" s="2">
        <v>282500</v>
      </c>
      <c r="D27" s="2">
        <v>132500</v>
      </c>
      <c r="E27" s="2">
        <f t="shared" si="0"/>
        <v>150000</v>
      </c>
    </row>
    <row r="28" spans="1:5">
      <c r="A28" t="s">
        <v>12</v>
      </c>
      <c r="B28" t="s">
        <v>8</v>
      </c>
      <c r="C28" s="2">
        <v>289800</v>
      </c>
      <c r="D28" s="2">
        <v>135400</v>
      </c>
      <c r="E28" s="2">
        <f t="shared" si="0"/>
        <v>154400</v>
      </c>
    </row>
    <row r="29" spans="1:5">
      <c r="A29" t="s">
        <v>12</v>
      </c>
      <c r="B29" t="s">
        <v>6</v>
      </c>
      <c r="C29" s="2">
        <v>297100</v>
      </c>
      <c r="D29" s="2">
        <v>138300</v>
      </c>
      <c r="E29" s="2">
        <f t="shared" si="0"/>
        <v>158800</v>
      </c>
    </row>
    <row r="30" spans="1:5">
      <c r="A30" t="s">
        <v>12</v>
      </c>
      <c r="B30" t="s">
        <v>7</v>
      </c>
      <c r="C30" s="2">
        <v>304400</v>
      </c>
      <c r="D30" s="2">
        <v>141200</v>
      </c>
      <c r="E30" s="2">
        <f t="shared" si="0"/>
        <v>163200</v>
      </c>
    </row>
    <row r="31" spans="1:5">
      <c r="A31" t="s">
        <v>12</v>
      </c>
      <c r="B31" t="s">
        <v>8</v>
      </c>
      <c r="C31" s="2">
        <v>311700</v>
      </c>
      <c r="D31" s="2">
        <v>144100</v>
      </c>
      <c r="E31" s="2">
        <f t="shared" si="0"/>
        <v>167600</v>
      </c>
    </row>
    <row r="32" spans="1:5">
      <c r="A32" t="s">
        <v>13</v>
      </c>
      <c r="B32" t="s">
        <v>6</v>
      </c>
      <c r="C32" s="2">
        <v>319000</v>
      </c>
      <c r="D32" s="2">
        <v>147000</v>
      </c>
      <c r="E32" s="2">
        <f t="shared" si="0"/>
        <v>172000</v>
      </c>
    </row>
    <row r="33" spans="1:5">
      <c r="A33" t="s">
        <v>13</v>
      </c>
      <c r="B33" t="s">
        <v>7</v>
      </c>
      <c r="C33" s="2">
        <v>326300</v>
      </c>
      <c r="D33" s="2">
        <v>149900</v>
      </c>
      <c r="E33" s="2">
        <f t="shared" si="0"/>
        <v>176400</v>
      </c>
    </row>
    <row r="34" spans="1:5">
      <c r="A34" t="s">
        <v>13</v>
      </c>
      <c r="B34" t="s">
        <v>8</v>
      </c>
      <c r="C34" s="2">
        <v>333600</v>
      </c>
      <c r="D34" s="2">
        <v>152800</v>
      </c>
      <c r="E34" s="2">
        <f t="shared" si="0"/>
        <v>180800</v>
      </c>
    </row>
    <row r="35" spans="1:5">
      <c r="A35" t="s">
        <v>13</v>
      </c>
      <c r="B35" t="s">
        <v>6</v>
      </c>
      <c r="C35" s="2">
        <v>340900</v>
      </c>
      <c r="D35" s="2">
        <v>155700</v>
      </c>
      <c r="E35" s="2">
        <f t="shared" si="0"/>
        <v>185200</v>
      </c>
    </row>
    <row r="36" spans="1:5">
      <c r="A36" t="s">
        <v>13</v>
      </c>
      <c r="B36" t="s">
        <v>7</v>
      </c>
      <c r="C36" s="2">
        <v>348200</v>
      </c>
      <c r="D36" s="2">
        <v>158600</v>
      </c>
      <c r="E36" s="2">
        <f t="shared" si="0"/>
        <v>189600</v>
      </c>
    </row>
    <row r="37" spans="1:5">
      <c r="A37" t="s">
        <v>13</v>
      </c>
      <c r="B37" t="s">
        <v>8</v>
      </c>
      <c r="C37" s="2">
        <v>355500</v>
      </c>
      <c r="D37" s="2">
        <v>161500</v>
      </c>
      <c r="E37" s="2">
        <f t="shared" si="0"/>
        <v>194000</v>
      </c>
    </row>
    <row r="38" spans="1:5">
      <c r="A38" s="4" t="s">
        <v>14</v>
      </c>
      <c r="B38" s="4" t="s">
        <v>15</v>
      </c>
      <c r="C38" s="4">
        <f>SUM(C2:C37)</f>
        <v>8399000</v>
      </c>
      <c r="D38" s="4">
        <f>SUM(D2:D37)</f>
        <v>3987000</v>
      </c>
      <c r="E38" s="4">
        <f>SUM(E2:E37)</f>
        <v>4412000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6.8" outlineLevelRow="2" outlineLevelCol="2"/>
  <cols>
    <col min="1" max="1" width="22.8557692307692" customWidth="1"/>
    <col min="2" max="2" width="25.7115384615385" customWidth="1"/>
    <col min="3" max="3" width="51.4326923076923" customWidth="1"/>
  </cols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s="2">
        <f>SUM(销售明细!C2:C37)</f>
        <v>8399000</v>
      </c>
      <c r="C2" t="s">
        <v>20</v>
      </c>
    </row>
    <row r="3" spans="1:3">
      <c r="A3" t="s">
        <v>21</v>
      </c>
      <c r="B3" s="2">
        <f>SUM(销售明细!E2:E37)</f>
        <v>4412000</v>
      </c>
      <c r="C3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2026-09-28T10:35:00Z</dcterms:created>
  <dcterms:modified xsi:type="dcterms:W3CDTF">2026-09-28T10:57:00Z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3067E1B0208CC0E87CD7B96AFDBABCA8_43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