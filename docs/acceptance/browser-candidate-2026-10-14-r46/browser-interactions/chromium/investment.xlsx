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报表" state="visible" r:id="rId4"/>
  </sheets>
  <calcPr calcId="171027" fullCalcOnLoad="1"/>
</workbook>
</file>

<file path=xl/sharedStrings.xml><?xml version="1.0" encoding="utf-8"?>
<sst xmlns="http://schemas.openxmlformats.org/spreadsheetml/2006/main" count="21" uniqueCount="20">
  <si>
    <t>回款日期</t>
  </si>
  <si>
    <t>现金流</t>
  </si>
  <si>
    <t>说明</t>
  </si>
  <si>
    <t>2008-01-01</t>
  </si>
  <si>
    <t>初始投入（负数）</t>
  </si>
  <si>
    <t>2008-06-01</t>
  </si>
  <si>
    <t>第一笔回款</t>
  </si>
  <si>
    <t>2008-10-30</t>
  </si>
  <si>
    <t>第二笔回款</t>
  </si>
  <si>
    <t>2009-02-15</t>
  </si>
  <si>
    <t>第三笔回款</t>
  </si>
  <si>
    <t>2009-04-01</t>
  </si>
  <si>
    <t>尾款</t>
  </si>
  <si>
    <t>合计</t>
  </si>
  <si>
    <t/>
  </si>
  <si>
    <t>折现率</t>
  </si>
  <si>
    <t>净现值</t>
  </si>
  <si>
    <t>修改回款金额、日期或折现率，结果自动更新</t>
  </si>
  <si>
    <t>年化内部收益率</t>
  </si>
  <si>
    <t>实际天数 / 365；日期使用 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</si>
</sst>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¥&quot;#,##0.00"/>
    <numFmt numFmtId="165" formatCode="0.0%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.428571428571427" customWidth="1"/>
    <col min="2" max="2" width="22.857142857142858" customWidth="1"/>
    <col min="3" max="3" width="48.57142857142857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>
        <v>-10000</v>
      </c>
      <c r="C2" t="s">
        <v>4</v>
      </c>
    </row>
    <row r="3" spans="1:3" x14ac:dyDescent="0.25">
      <c r="A3" t="s">
        <v>5</v>
      </c>
      <c r="B3" s="2">
        <v>2750</v>
      </c>
      <c r="C3" t="s">
        <v>6</v>
      </c>
    </row>
    <row r="4" spans="1:3" x14ac:dyDescent="0.25">
      <c r="A4" t="s">
        <v>7</v>
      </c>
      <c r="B4" s="2">
        <v>4250</v>
      </c>
      <c r="C4" t="s">
        <v>8</v>
      </c>
    </row>
    <row r="5" spans="1:3" x14ac:dyDescent="0.25">
      <c r="A5" t="s">
        <v>9</v>
      </c>
      <c r="B5" s="2">
        <v>3250</v>
      </c>
      <c r="C5" t="s">
        <v>10</v>
      </c>
    </row>
    <row r="6" spans="1:3" x14ac:dyDescent="0.25">
      <c r="A6" t="s">
        <v>11</v>
      </c>
      <c r="B6" s="2">
        <v>2750</v>
      </c>
      <c r="C6" t="s">
        <v>12</v>
      </c>
    </row>
    <row r="7" spans="1:3" x14ac:dyDescent="0.25">
      <c r="A7" s="3" t="s">
        <v>13</v>
      </c>
      <c r="B7" s="3" t="s">
        <v>14</v>
      </c>
      <c r="C7" s="3" t="s">
        <v>14</v>
      </c>
    </row>
    <row r="8" spans="1:2" x14ac:dyDescent="0.25">
      <c r="A8" t="s">
        <v>15</v>
      </c>
      <c r="B8" s="4">
        <v>0.09</v>
      </c>
    </row>
    <row r="9" spans="1:3" x14ac:dyDescent="0.25">
      <c r="A9" t="s">
        <v>16</v>
      </c>
      <c r="B9" s="2">
        <f>XNPV(B8,B2:B6,A2:A6)</f>
        <v>2028.388738362005</v>
      </c>
      <c r="C9" t="s">
        <v>17</v>
      </c>
    </row>
    <row r="10" spans="1:3" x14ac:dyDescent="0.25">
      <c r="A10" t="s">
        <v>18</v>
      </c>
      <c r="B10" s="4">
        <f>XIRR(B2:B6,A2:A6)</f>
        <v>0.3420022365994224</v>
      </c>
      <c r="C10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2026-10-14T02:48:50Z</dcterms:created>
  <dcterms:modified xsi:type="dcterms:W3CDTF">2026-10-14T02:48:50Z</dcterms:modified>
</cp:coreProperties>
</file>